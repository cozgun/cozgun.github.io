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1655"/>
  </bookViews>
  <sheets>
    <sheet name="R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1" l="1"/>
  <c r="E30" i="1"/>
  <c r="E32" i="1" s="1"/>
  <c r="K13" i="1"/>
  <c r="K12" i="1"/>
  <c r="K11" i="1"/>
  <c r="K14" i="1" s="1"/>
  <c r="E33" i="1" s="1"/>
  <c r="E34" i="1" s="1"/>
</calcChain>
</file>

<file path=xl/sharedStrings.xml><?xml version="1.0" encoding="utf-8"?>
<sst xmlns="http://schemas.openxmlformats.org/spreadsheetml/2006/main" count="93" uniqueCount="45">
  <si>
    <t>Kara sıva ve mantolama malzemelerini Özgün öder.</t>
  </si>
  <si>
    <t>Bordeks, alçı sıva, alçıpan asmatavan malzemelerini Ramazan öder.</t>
  </si>
  <si>
    <t>Açıklama</t>
  </si>
  <si>
    <t>Ödendiği yer</t>
  </si>
  <si>
    <t>Masraf türü</t>
  </si>
  <si>
    <t>Tarih</t>
  </si>
  <si>
    <t>Tutar</t>
  </si>
  <si>
    <t>İşçilik-ilk ödeme - toplam 200 bin ödenecek.</t>
  </si>
  <si>
    <t>Ramazan Uçak</t>
  </si>
  <si>
    <t>Elektrik tesisatı</t>
  </si>
  <si>
    <t>Demir elektrik</t>
  </si>
  <si>
    <t>Elektrik dışındaki ödemeler</t>
  </si>
  <si>
    <t>Kara sıva işçilik</t>
  </si>
  <si>
    <t>Sıva işleri</t>
  </si>
  <si>
    <t>Kara sıva malzemeler</t>
  </si>
  <si>
    <t>Bana ait</t>
  </si>
  <si>
    <t>Demir ve alçı malzeme</t>
  </si>
  <si>
    <t>Ramazana ait</t>
  </si>
  <si>
    <t>kaba sıva ve mantolama</t>
  </si>
  <si>
    <t>Demir ve bordeks 1051 kalekim ve file</t>
  </si>
  <si>
    <t>bordeks</t>
  </si>
  <si>
    <t>Mantolama malzeme</t>
  </si>
  <si>
    <t>ince sıva</t>
  </si>
  <si>
    <t>asma tavan</t>
  </si>
  <si>
    <t>Asansör kapıları eklenecek</t>
  </si>
  <si>
    <t>İlave kalekim, çimento, karasıva, nakliye, vinç.</t>
  </si>
  <si>
    <t>Toplam hakediş</t>
  </si>
  <si>
    <t>Sıva işleri-İçinde asma tavan da var.</t>
  </si>
  <si>
    <t>Sıva işleri-İçinde asma tavan da var.-Elektrik ilaveleri</t>
  </si>
  <si>
    <t>Elektrikle ilgili tutar 10 bin gibi olacak.  Ramazanla netleştiririz.</t>
  </si>
  <si>
    <t>İnce sıva ve asma tavan işleri</t>
  </si>
  <si>
    <t xml:space="preserve">İnce sıva ve asma tavan </t>
  </si>
  <si>
    <t>Asansör kapılarının kapatılması işi için ödeme yapılması gerekir</t>
  </si>
  <si>
    <t>İnce sıva</t>
  </si>
  <si>
    <t>Tesviye malzemeleri</t>
  </si>
  <si>
    <t>Kutluhan İlhan</t>
  </si>
  <si>
    <t>Tesviye</t>
  </si>
  <si>
    <t>SGK primleri</t>
  </si>
  <si>
    <t>İade edilen malzemelerden alacaklar</t>
  </si>
  <si>
    <t>Toplam ödediğim:</t>
  </si>
  <si>
    <t>Malzemesi bana ait olanlar:</t>
  </si>
  <si>
    <t>Net ödediğim:</t>
  </si>
  <si>
    <t>10 bin elektrik farkını öderiz bilahare</t>
  </si>
  <si>
    <t>Ramazan hak ediş:</t>
  </si>
  <si>
    <t>Fark: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</si>
</sst>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/>
    <xf numFmtId="0" fontId="0" fillId="0" borderId="0" xfId="0" applyFont="1" applyAlignment="1"/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0" fillId="0" borderId="0" xfId="0" applyFont="1" applyAlignment="1">
      <alignment wrapText="1"/>
    </xf>
    <xf numFmtId="14" fontId="0" fillId="0" borderId="0" xfId="0" applyNumberFormat="1" applyFont="1" applyAlignment="1"/>
    <xf numFmtId="3" fontId="0" fillId="0" borderId="0" xfId="0" applyNumberFormat="1" applyFont="1" applyAlignment="1"/>
    <xf numFmtId="0" fontId="2" fillId="0" borderId="1" xfId="0" applyFont="1" applyBorder="1" applyAlignment="1"/>
    <xf numFmtId="0" fontId="0" fillId="0" borderId="1" xfId="0" applyFont="1" applyBorder="1" applyAlignment="1"/>
    <xf numFmtId="3" fontId="0" fillId="0" borderId="1" xfId="0" applyNumberFormat="1" applyFont="1" applyBorder="1" applyAlignment="1"/>
    <xf numFmtId="0" fontId="0" fillId="2" borderId="0" xfId="0" applyFont="1" applyFill="1" applyAlignment="1"/>
    <xf numFmtId="14" fontId="0" fillId="2" borderId="0" xfId="0" applyNumberFormat="1" applyFont="1" applyFill="1" applyAlignment="1"/>
    <xf numFmtId="3" fontId="0" fillId="2" borderId="0" xfId="0" applyNumberFormat="1" applyFont="1" applyFill="1" applyAlignment="1"/>
    <xf numFmtId="3" fontId="2" fillId="0" borderId="0" xfId="0" applyNumberFormat="1" applyFont="1" applyAlignment="1"/>
    <xf numFmtId="3" fontId="0" fillId="0" borderId="0" xfId="0" applyNumberFormat="1"/>
    <xf numFmtId="0" fontId="1" fillId="0" borderId="0" xfId="0" applyFont="1" applyAlignment="1"/>
    <xf numFmtId="0" fontId="0" fillId="0" borderId="0" xfId="0" applyFont="1" applyFill="1" applyAlignment="1"/>
    <xf numFmtId="3" fontId="0" fillId="0" borderId="0" xfId="0" applyNumberFormat="1" applyFont="1" applyFill="1" applyAlignment="1"/>
    <xf numFmtId="14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zoomScale="90" zoomScaleNormal="90" workbookViewId="0"/>
  </sheetViews>
  <sheetFormatPr defaultRowHeight="15" x14ac:dyDescent="0.25"/>
  <cols>
    <col min="1" max="1" width="59.7109375" style="2" bestFit="1" customWidth="1"/>
    <col min="2" max="2" width="15.85546875" style="2" customWidth="1"/>
    <col min="3" max="3" width="22.140625" style="2" bestFit="1" customWidth="1"/>
    <col min="4" max="4" width="11.28515625" style="2" customWidth="1"/>
    <col min="5" max="5" width="11.140625" style="2" customWidth="1"/>
    <col min="6" max="6" width="14.5703125" style="2" customWidth="1"/>
    <col min="7" max="7" width="18" style="2" customWidth="1"/>
    <col min="8" max="8" width="22.5703125" style="2" bestFit="1" customWidth="1"/>
    <col min="9" max="10" width="9.140625" style="2"/>
    <col min="11" max="11" width="10.140625" style="2" bestFit="1" customWidth="1"/>
    <col min="12" max="16384" width="9.140625" style="2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s="5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</row>
    <row r="4" spans="1:12" x14ac:dyDescent="0.25">
      <c r="A4" s="2" t="s">
        <v>7</v>
      </c>
      <c r="B4" s="2" t="s">
        <v>8</v>
      </c>
      <c r="C4" s="2" t="s">
        <v>9</v>
      </c>
      <c r="D4" s="6">
        <v>45782</v>
      </c>
      <c r="E4" s="7">
        <v>100000</v>
      </c>
    </row>
    <row r="5" spans="1:12" x14ac:dyDescent="0.25">
      <c r="A5" s="2" t="s">
        <v>9</v>
      </c>
      <c r="B5" s="2" t="s">
        <v>10</v>
      </c>
      <c r="C5" s="2" t="s">
        <v>9</v>
      </c>
      <c r="D5" s="6">
        <v>45786</v>
      </c>
      <c r="E5" s="7">
        <v>115000</v>
      </c>
    </row>
    <row r="6" spans="1:12" x14ac:dyDescent="0.25">
      <c r="E6" s="7"/>
    </row>
    <row r="7" spans="1:12" x14ac:dyDescent="0.25">
      <c r="A7" s="8" t="s">
        <v>11</v>
      </c>
      <c r="B7" s="9"/>
      <c r="C7" s="9"/>
      <c r="D7" s="9"/>
      <c r="E7" s="10"/>
    </row>
    <row r="8" spans="1:12" x14ac:dyDescent="0.25">
      <c r="A8" s="2" t="s">
        <v>12</v>
      </c>
      <c r="B8" s="2" t="s">
        <v>8</v>
      </c>
      <c r="C8" s="2" t="s">
        <v>13</v>
      </c>
      <c r="D8" s="6">
        <v>45810</v>
      </c>
      <c r="E8" s="7">
        <v>200000</v>
      </c>
    </row>
    <row r="9" spans="1:12" x14ac:dyDescent="0.25">
      <c r="A9" s="2" t="s">
        <v>14</v>
      </c>
      <c r="B9" s="2" t="s">
        <v>8</v>
      </c>
      <c r="C9" s="2" t="s">
        <v>13</v>
      </c>
      <c r="D9" s="6">
        <v>45810</v>
      </c>
      <c r="E9" s="7">
        <v>115000</v>
      </c>
      <c r="F9" s="2" t="s">
        <v>15</v>
      </c>
    </row>
    <row r="10" spans="1:12" x14ac:dyDescent="0.25">
      <c r="A10" s="11" t="s">
        <v>16</v>
      </c>
      <c r="B10" s="11" t="s">
        <v>8</v>
      </c>
      <c r="C10" s="11" t="s">
        <v>13</v>
      </c>
      <c r="D10" s="12">
        <v>45828</v>
      </c>
      <c r="E10" s="13">
        <v>125000</v>
      </c>
      <c r="F10" s="11" t="s">
        <v>17</v>
      </c>
      <c r="H10" s="2" t="s">
        <v>18</v>
      </c>
      <c r="K10" s="7">
        <v>750000</v>
      </c>
    </row>
    <row r="11" spans="1:12" x14ac:dyDescent="0.25">
      <c r="A11" s="11" t="s">
        <v>19</v>
      </c>
      <c r="B11" s="11" t="s">
        <v>8</v>
      </c>
      <c r="C11" s="11" t="s">
        <v>13</v>
      </c>
      <c r="D11" s="12">
        <v>45828</v>
      </c>
      <c r="E11" s="13">
        <v>36000</v>
      </c>
      <c r="F11" s="11" t="s">
        <v>17</v>
      </c>
      <c r="H11" s="2" t="s">
        <v>20</v>
      </c>
      <c r="I11" s="2">
        <v>28</v>
      </c>
      <c r="J11" s="2">
        <v>1200</v>
      </c>
      <c r="K11" s="7">
        <f>+J11*I11</f>
        <v>33600</v>
      </c>
    </row>
    <row r="12" spans="1:12" x14ac:dyDescent="0.25">
      <c r="A12" s="2" t="s">
        <v>21</v>
      </c>
      <c r="B12" s="2" t="s">
        <v>8</v>
      </c>
      <c r="C12" s="2" t="s">
        <v>13</v>
      </c>
      <c r="D12" s="6">
        <v>45831</v>
      </c>
      <c r="E12" s="7">
        <v>402000</v>
      </c>
      <c r="F12" s="2" t="s">
        <v>15</v>
      </c>
      <c r="H12" s="2" t="s">
        <v>22</v>
      </c>
      <c r="I12" s="2">
        <v>1530</v>
      </c>
      <c r="J12" s="2">
        <v>350</v>
      </c>
      <c r="K12" s="7">
        <f>+J12*I12</f>
        <v>535500</v>
      </c>
    </row>
    <row r="13" spans="1:12" x14ac:dyDescent="0.25">
      <c r="A13" s="2" t="s">
        <v>13</v>
      </c>
      <c r="B13" s="2" t="s">
        <v>8</v>
      </c>
      <c r="C13" s="2" t="s">
        <v>13</v>
      </c>
      <c r="D13" s="6">
        <v>45835</v>
      </c>
      <c r="E13" s="7">
        <v>80000</v>
      </c>
      <c r="H13" s="2" t="s">
        <v>23</v>
      </c>
      <c r="I13" s="2">
        <v>540</v>
      </c>
      <c r="J13" s="2">
        <v>750</v>
      </c>
      <c r="K13" s="7">
        <f>+J13*I13</f>
        <v>405000</v>
      </c>
      <c r="L13" s="2" t="s">
        <v>24</v>
      </c>
    </row>
    <row r="14" spans="1:12" x14ac:dyDescent="0.25">
      <c r="A14" s="2" t="s">
        <v>25</v>
      </c>
      <c r="B14" s="2" t="s">
        <v>8</v>
      </c>
      <c r="C14" s="2" t="s">
        <v>13</v>
      </c>
      <c r="D14" s="6">
        <v>45840</v>
      </c>
      <c r="E14" s="7">
        <v>57250</v>
      </c>
      <c r="F14" s="2" t="s">
        <v>15</v>
      </c>
      <c r="H14" s="1" t="s">
        <v>26</v>
      </c>
      <c r="I14" s="1"/>
      <c r="J14" s="1"/>
      <c r="K14" s="14">
        <f>SUM(K10:K13)</f>
        <v>1724100</v>
      </c>
    </row>
    <row r="15" spans="1:12" x14ac:dyDescent="0.25">
      <c r="A15" s="2" t="s">
        <v>13</v>
      </c>
      <c r="B15" s="2" t="s">
        <v>8</v>
      </c>
      <c r="C15" s="2" t="s">
        <v>13</v>
      </c>
      <c r="D15" s="6">
        <v>45877</v>
      </c>
      <c r="E15" s="7">
        <v>250000</v>
      </c>
    </row>
    <row r="16" spans="1:12" x14ac:dyDescent="0.25">
      <c r="A16" s="2" t="s">
        <v>13</v>
      </c>
      <c r="B16" s="2" t="s">
        <v>8</v>
      </c>
      <c r="C16" s="2" t="s">
        <v>13</v>
      </c>
      <c r="D16" s="6">
        <v>45898</v>
      </c>
      <c r="E16" s="7">
        <v>220000</v>
      </c>
      <c r="K16" s="7"/>
    </row>
    <row r="17" spans="1:12" x14ac:dyDescent="0.25">
      <c r="A17" s="2" t="s">
        <v>13</v>
      </c>
      <c r="B17" s="2" t="s">
        <v>8</v>
      </c>
      <c r="C17" s="2" t="s">
        <v>13</v>
      </c>
      <c r="D17" s="6">
        <v>45912</v>
      </c>
      <c r="E17" s="7">
        <v>60000</v>
      </c>
      <c r="K17" s="7"/>
    </row>
    <row r="18" spans="1:12" x14ac:dyDescent="0.25">
      <c r="A18" s="2" t="s">
        <v>13</v>
      </c>
      <c r="B18" s="2" t="s">
        <v>8</v>
      </c>
      <c r="C18" s="2" t="s">
        <v>13</v>
      </c>
      <c r="D18" s="6">
        <v>45919</v>
      </c>
      <c r="E18" s="7">
        <v>80000</v>
      </c>
      <c r="I18" s="15"/>
      <c r="J18"/>
      <c r="K18" s="7"/>
      <c r="L18"/>
    </row>
    <row r="19" spans="1:12" x14ac:dyDescent="0.25">
      <c r="A19" s="2" t="s">
        <v>27</v>
      </c>
      <c r="B19" s="2" t="s">
        <v>8</v>
      </c>
      <c r="C19" s="2" t="s">
        <v>13</v>
      </c>
      <c r="D19" s="6">
        <v>45926</v>
      </c>
      <c r="E19" s="7">
        <v>80000</v>
      </c>
      <c r="I19" s="15"/>
      <c r="J19"/>
      <c r="K19" s="15"/>
      <c r="L19"/>
    </row>
    <row r="20" spans="1:12" x14ac:dyDescent="0.25">
      <c r="A20" s="2" t="s">
        <v>28</v>
      </c>
      <c r="B20" s="2" t="s">
        <v>8</v>
      </c>
      <c r="C20" s="2" t="s">
        <v>13</v>
      </c>
      <c r="D20" s="6">
        <v>45933</v>
      </c>
      <c r="E20" s="7">
        <v>50000</v>
      </c>
      <c r="F20" s="16" t="s">
        <v>29</v>
      </c>
    </row>
    <row r="21" spans="1:12" x14ac:dyDescent="0.25">
      <c r="A21" s="2" t="s">
        <v>30</v>
      </c>
      <c r="B21" s="2" t="s">
        <v>8</v>
      </c>
      <c r="C21" s="2" t="s">
        <v>31</v>
      </c>
      <c r="D21" s="6">
        <v>45941</v>
      </c>
      <c r="E21" s="7">
        <v>60000</v>
      </c>
      <c r="H21" s="17"/>
      <c r="I21" s="17"/>
      <c r="J21" s="17"/>
      <c r="K21" s="18"/>
    </row>
    <row r="22" spans="1:12" x14ac:dyDescent="0.25">
      <c r="A22" s="2" t="s">
        <v>30</v>
      </c>
      <c r="B22" s="2" t="s">
        <v>8</v>
      </c>
      <c r="C22" s="2" t="s">
        <v>31</v>
      </c>
      <c r="D22" s="6">
        <v>45948</v>
      </c>
      <c r="E22" s="7">
        <v>45000</v>
      </c>
      <c r="H22" s="1"/>
      <c r="I22" s="1"/>
      <c r="J22" s="1"/>
      <c r="K22" s="14"/>
    </row>
    <row r="23" spans="1:12" x14ac:dyDescent="0.25">
      <c r="A23" t="s">
        <v>30</v>
      </c>
      <c r="B23" t="s">
        <v>8</v>
      </c>
      <c r="C23" t="s">
        <v>13</v>
      </c>
      <c r="D23" s="19">
        <v>45962</v>
      </c>
      <c r="E23" s="15">
        <v>110000</v>
      </c>
      <c r="F23" s="20"/>
      <c r="G23"/>
      <c r="H23" s="2" t="s">
        <v>32</v>
      </c>
      <c r="K23" s="7"/>
    </row>
    <row r="24" spans="1:12" x14ac:dyDescent="0.25">
      <c r="A24" t="s">
        <v>33</v>
      </c>
      <c r="B24" t="s">
        <v>8</v>
      </c>
      <c r="C24" t="s">
        <v>13</v>
      </c>
      <c r="D24" s="19">
        <v>45969</v>
      </c>
      <c r="E24" s="15">
        <v>40000</v>
      </c>
      <c r="F24" s="20"/>
      <c r="G24"/>
      <c r="K24" s="7"/>
    </row>
    <row r="25" spans="1:12" x14ac:dyDescent="0.25">
      <c r="A25" t="s">
        <v>33</v>
      </c>
      <c r="B25" t="s">
        <v>8</v>
      </c>
      <c r="C25" t="s">
        <v>13</v>
      </c>
      <c r="D25" s="19">
        <v>46003</v>
      </c>
      <c r="E25" s="15">
        <v>60000</v>
      </c>
      <c r="F25" s="20"/>
      <c r="G25"/>
      <c r="K25" s="7"/>
    </row>
    <row r="26" spans="1:12" x14ac:dyDescent="0.25">
      <c r="A26" t="s">
        <v>34</v>
      </c>
      <c r="B26" t="s">
        <v>35</v>
      </c>
      <c r="C26" t="s">
        <v>36</v>
      </c>
      <c r="D26" s="19">
        <v>45987</v>
      </c>
      <c r="E26" s="15">
        <v>5500</v>
      </c>
      <c r="F26" s="2" t="s">
        <v>15</v>
      </c>
      <c r="K26" s="7"/>
    </row>
    <row r="27" spans="1:12" x14ac:dyDescent="0.25">
      <c r="A27" s="2" t="s">
        <v>37</v>
      </c>
      <c r="E27" s="7">
        <v>130000</v>
      </c>
      <c r="K27" s="7"/>
    </row>
    <row r="28" spans="1:12" x14ac:dyDescent="0.25">
      <c r="A28" s="2" t="s">
        <v>38</v>
      </c>
      <c r="E28" s="7">
        <v>130000</v>
      </c>
      <c r="K28" s="7"/>
    </row>
    <row r="30" spans="1:12" x14ac:dyDescent="0.25">
      <c r="D30" s="21" t="s">
        <v>39</v>
      </c>
      <c r="E30" s="7">
        <f>SUM(E8:E29)</f>
        <v>2335750</v>
      </c>
    </row>
    <row r="31" spans="1:12" x14ac:dyDescent="0.25">
      <c r="D31" s="21" t="s">
        <v>40</v>
      </c>
      <c r="E31" s="7">
        <f>+E9+E12+E14+E26</f>
        <v>579750</v>
      </c>
    </row>
    <row r="32" spans="1:12" x14ac:dyDescent="0.25">
      <c r="D32" s="22" t="s">
        <v>41</v>
      </c>
      <c r="E32" s="14">
        <f>+E30-E31</f>
        <v>1756000</v>
      </c>
      <c r="F32" s="2" t="s">
        <v>42</v>
      </c>
    </row>
    <row r="33" spans="4:5" x14ac:dyDescent="0.25">
      <c r="D33" s="22" t="s">
        <v>43</v>
      </c>
      <c r="E33" s="14">
        <f>+K14</f>
        <v>1724100</v>
      </c>
    </row>
    <row r="34" spans="4:5" x14ac:dyDescent="0.25">
      <c r="D34" s="22" t="s">
        <v>44</v>
      </c>
      <c r="E34" s="14">
        <f>+E33-E32</f>
        <v>-31900</v>
      </c>
    </row>
    <row r="35" spans="4:5" x14ac:dyDescent="0.25">
      <c r="D35" s="1"/>
      <c r="E3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</vt:lpstr>
    </vt:vector>
  </TitlesOfParts>
  <Company>RaboTr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Ozgun Senyuva</dc:creator>
  <cp:lastModifiedBy>Ozgun Senyuva</cp:lastModifiedBy>
  <dcterms:created xsi:type="dcterms:W3CDTF">2025-12-24T09:43:35Z</dcterms:created>
  <dcterms:modified xsi:type="dcterms:W3CDTF">2025-12-24T09:43:53Z</dcterms:modified>
</cp:coreProperties>
</file>